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y_project\Demand forecasting\"/>
    </mc:Choice>
  </mc:AlternateContent>
  <xr:revisionPtr revIDLastSave="0" documentId="13_ncr:1_{BAD0E5BA-6972-4229-A627-9EACA6ED58C6}" xr6:coauthVersionLast="36" xr6:coauthVersionMax="36" xr10:uidLastSave="{00000000-0000-0000-0000-000000000000}"/>
  <bookViews>
    <workbookView xWindow="0" yWindow="0" windowWidth="23040" windowHeight="9648" tabRatio="500" xr2:uid="{00000000-000D-0000-FFFF-FFFF00000000}"/>
  </bookViews>
  <sheets>
    <sheet name="Task Tracker" sheetId="1" r:id="rId1"/>
    <sheet name="Progress Summary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B7" i="2" s="1"/>
  <c r="B3" i="2"/>
</calcChain>
</file>

<file path=xl/sharedStrings.xml><?xml version="1.0" encoding="utf-8"?>
<sst xmlns="http://schemas.openxmlformats.org/spreadsheetml/2006/main" count="119" uniqueCount="75">
  <si>
    <t>Real-Time Demand Forecasting &amp; Inventory Optimization Platform — 20-Day Build Tracker</t>
  </si>
  <si>
    <t>Mark the Done column as Yes when a task is completed. Status auto-highlights.</t>
  </si>
  <si>
    <t>Day</t>
  </si>
  <si>
    <t>Phase</t>
  </si>
  <si>
    <t>Task</t>
  </si>
  <si>
    <t>Details / Sub-steps</t>
  </si>
  <si>
    <t>Done (Yes/No)</t>
  </si>
  <si>
    <t>Notes</t>
  </si>
  <si>
    <t>1. Data Collection</t>
  </si>
  <si>
    <t>Project setup</t>
  </si>
  <si>
    <t>• Create GitHub repo with clean folder structure (data/, notebooks/, src/, api/, dashboard/, models/)
• Set up Python virtual environment &amp; requirements.txt
• Install core libraries: pandas, numpy, scikit-learn, matplotlib
• Write initial README with project goal and architecture diagram</t>
  </si>
  <si>
    <t>No</t>
  </si>
  <si>
    <t>Identify &amp; gather data sources</t>
  </si>
  <si>
    <t>• Find/download historical sales dataset (e.g. Kaggle demand forecasting dataset)
• Identify weather data source (API or historical CSV)
• List holiday calendar source for target region
• Note product details, price/promotion fields needed</t>
  </si>
  <si>
    <t>Collect remaining data</t>
  </si>
  <si>
    <t>• Pull weather data for matching date range
• Build/download holiday calendar dataset
• Gather product metadata (category, price, promotions)
• Save all raw files into data/raw/ folder</t>
  </si>
  <si>
    <t>Initial data audit</t>
  </si>
  <si>
    <t>• Load each dataset in a notebook and check shape, dtypes, date ranges
• Check for overlapping keys (date, product_id, store_id) across sources
• Document data dictionary (column meanings) in README</t>
  </si>
  <si>
    <t>2. Data Processing &amp; Feature Engineering</t>
  </si>
  <si>
    <t>Exploratory Data Analysis</t>
  </si>
  <si>
    <t>• Plot demand trends over time (overall &amp; by product)
• Check seasonality, holidays effect, weather correlation
• Identify missing values, outliers, duplicate rows
• Summarize EDA findings in notebook with charts</t>
  </si>
  <si>
    <t>Data cleaning</t>
  </si>
  <si>
    <t>• Handle missing values (imputation strategy per column)
• Detect &amp; treat outliers
• Standardize date formats and merge all sources into one table
• Encode categorical variables (product, store, category)</t>
  </si>
  <si>
    <t>Feature engineering</t>
  </si>
  <si>
    <t>• Create time-based features (day of week, month, is_holiday, is_weekend)
• Create lag features (t-1, t-7, t-14, t-30 demand)
• Create rolling stats (rolling mean/std over 7/14/30 days)
• Normalize/scale numerical features</t>
  </si>
  <si>
    <t>Build feature store &amp; train/test split</t>
  </si>
  <si>
    <t>• Save processed dataset to data/processed/
• Create reusable feature engineering pipeline (functions/classes)
• Split data into train/validation/test (time-based split, not random)
• Save split datasets for model training</t>
  </si>
  <si>
    <t>3. Model Development</t>
  </si>
  <si>
    <t>Baseline model</t>
  </si>
  <si>
    <t>• Train simple baseline: naive forecast / moving average
• Train Linear Regression model as first ML baseline
• Evaluate with MAE, RMSE, MAPE
• Log baseline results in a comparison table</t>
  </si>
  <si>
    <t>Tree-based models</t>
  </si>
  <si>
    <t>• Train XGBoost model
• Train LightGBM model
• Compare feature importance across models
• Log metrics for both models</t>
  </si>
  <si>
    <t>Deep learning model</t>
  </si>
  <si>
    <t>• Prepare sequence data for LSTM/TCN
• Build &amp; train LSTM (or TCN) model in PyTorch
• Evaluate against tree-based/baseline models
• Save all trained model artifacts</t>
  </si>
  <si>
    <t>Hyperparameter tuning &amp; cross-validation</t>
  </si>
  <si>
    <t>• Set up time-series cross-validation
• Tune XGBoost/LightGBM hyperparameters (Optuna or GridSearch)
• Select best-performing model based on validation metrics
• Document final model choice &amp; reasoning</t>
  </si>
  <si>
    <t>4. Prediction &amp; Inventory Optimization</t>
  </si>
  <si>
    <t>Prediction pipeline</t>
  </si>
  <si>
    <t>• Build script/function to generate demand forecast for new data
• Wrap forecasting logic into a reusable predict() module
• Test prediction pipeline end-to-end on sample data</t>
  </si>
  <si>
    <t>Inventory optimization logic</t>
  </si>
  <si>
    <t>• Implement safety stock calculation
• Implement reorder point / recommended stock logic
• Implement stockout probability estimation
• Validate outputs against sample scenarios</t>
  </si>
  <si>
    <t>Integrate forecast + inventory</t>
  </si>
  <si>
    <t>• Combine forecast output with inventory optimization module
• Generate sample end-to-end output (forecast -&gt; stock recommendation)
• Write unit tests for core functions</t>
  </si>
  <si>
    <t>5. Deployment</t>
  </si>
  <si>
    <t>Build FastAPI backend</t>
  </si>
  <si>
    <t>• Create FastAPI project structure (api/)
• Build /forecast endpoint
• Build /inventory endpoint
• Add request/response validation with Pydantic</t>
  </si>
  <si>
    <t>Build dashboard (UI)</t>
  </si>
  <si>
    <t>• Choose dashboard tool (Streamlit/Plotly Dash)
• Build Overview page with KPIs (predicted demand, recommended stock, stockout %)
• Build Forecast chart (actual vs forecast, next 7 days)
• Add Top Insights panel &amp; Download Report button</t>
  </si>
  <si>
    <t>Add caching &amp; real-time ingestion</t>
  </si>
  <si>
    <t>• Set up Redis for caching frequent queries
• Add real-time/simulated data ingestion endpoint
• Connect dashboard to FastAPI backend</t>
  </si>
  <si>
    <t>Containerize &amp; deploy</t>
  </si>
  <si>
    <t>• Write Dockerfile for API and dashboard
• Test containers locally with docker-compose
• Deploy to cloud (AWS / Render / Railway)
• Verify live endpoints and dashboard access</t>
  </si>
  <si>
    <t>6. Monitoring &amp; Retraining</t>
  </si>
  <si>
    <t>Set up MLflow</t>
  </si>
  <si>
    <t>• Integrate MLflow for experiment tracking &amp; model versioning
• Log all trained models with parameters &amp; metrics
• Set up model registry for production model</t>
  </si>
  <si>
    <t>Monitoring &amp; alerting</t>
  </si>
  <si>
    <t>• Track model performance over time (drift detection)
• Set up automated retraining trigger/schedule
• Configure alerting (email/Slack) for failures or drift</t>
  </si>
  <si>
    <t>7. Documentation &amp; Wrap-up</t>
  </si>
  <si>
    <t>Final polish &amp; submission</t>
  </si>
  <si>
    <t>• Write full README (setup, architecture, how to run, screenshots)
• Clean up repo structure &amp; remove unused files
• Push final code to GitHub with proper commit history
• Record short demo walkthrough (optional) &amp; final review</t>
  </si>
  <si>
    <t>Progress Summary</t>
  </si>
  <si>
    <t>Total Tasks</t>
  </si>
  <si>
    <t>Completed (Yes)</t>
  </si>
  <si>
    <t>In Progress</t>
  </si>
  <si>
    <t>Not Started (No)</t>
  </si>
  <si>
    <t>% Complete</t>
  </si>
  <si>
    <t>Day-wise Phase Breakdown</t>
  </si>
  <si>
    <t>Days</t>
  </si>
  <si>
    <t>Day 1–2</t>
  </si>
  <si>
    <t>Day 3–6</t>
  </si>
  <si>
    <t>Day 7–10</t>
  </si>
  <si>
    <t>Day 11–13</t>
  </si>
  <si>
    <t>Day 14–17</t>
  </si>
  <si>
    <t>Day 18–19</t>
  </si>
  <si>
    <t>Day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</si>
</sst>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sz val="12"/>
      <color rgb="FFFFFFFF"/>
      <name val="Calibri"/>
      <charset val="1"/>
    </font>
    <font>
      <sz val="10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2"/>
      <color rgb="FF1F3864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7DEE8"/>
        <bgColor rgb="FFC6EFCE"/>
      </patternFill>
    </fill>
    <fill>
      <patternFill patternType="solid">
        <fgColor rgb="FFD9D2E9"/>
        <bgColor rgb="FFF4CCCC"/>
      </patternFill>
    </fill>
    <fill>
      <patternFill patternType="solid">
        <fgColor rgb="FFFCE4D6"/>
        <bgColor rgb="FFFFF2CC"/>
      </patternFill>
    </fill>
    <fill>
      <patternFill patternType="solid">
        <fgColor rgb="FFD9EAD3"/>
        <bgColor rgb="FFC6EFCE"/>
      </patternFill>
    </fill>
    <fill>
      <patternFill patternType="solid">
        <fgColor rgb="FFF4CCCC"/>
        <bgColor rgb="FFD9D2E9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3" fillId="2" borderId="0" xfId="0" applyFont="1" applyFill="1"/>
    <xf numFmtId="0" fontId="0" fillId="3" borderId="1" xfId="0" applyFont="1" applyFill="1" applyBorder="1"/>
    <xf numFmtId="0" fontId="0" fillId="0" borderId="1" xfId="0" applyFont="1" applyBorder="1"/>
    <xf numFmtId="0" fontId="0" fillId="4" borderId="1" xfId="0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0" fillId="7" borderId="1" xfId="0" applyFont="1" applyFill="1" applyBorder="1"/>
    <xf numFmtId="0" fontId="0" fillId="8" borderId="1" xfId="0" applyFont="1" applyFill="1" applyBorder="1"/>
  </cellXfs>
  <cellStyles count="1">
    <cellStyle name="Normal" xfId="0" builtinId="0"/>
  </cellStyles>
  <dxfs count="2"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B7DEE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>
      <pane ySplit="4" topLeftCell="A5" activePane="bottomLeft" state="frozen"/>
      <selection pane="bottomLeft" activeCell="D5" sqref="D5"/>
    </sheetView>
  </sheetViews>
  <sheetFormatPr defaultColWidth="8.6640625" defaultRowHeight="14.4" x14ac:dyDescent="0.3"/>
  <cols>
    <col min="1" max="1" width="6" customWidth="1"/>
    <col min="2" max="2" width="30" customWidth="1"/>
    <col min="3" max="3" width="26" customWidth="1"/>
    <col min="4" max="4" width="55" customWidth="1"/>
    <col min="5" max="5" width="14" customWidth="1"/>
    <col min="6" max="6" width="25" customWidth="1"/>
  </cols>
  <sheetData>
    <row r="1" spans="1:6" ht="21" x14ac:dyDescent="0.4">
      <c r="A1" s="3" t="s">
        <v>0</v>
      </c>
      <c r="B1" s="3"/>
      <c r="C1" s="3"/>
      <c r="D1" s="3"/>
      <c r="E1" s="3"/>
      <c r="F1" s="3"/>
    </row>
    <row r="2" spans="1:6" x14ac:dyDescent="0.3">
      <c r="A2" s="2" t="s">
        <v>1</v>
      </c>
      <c r="B2" s="2"/>
      <c r="C2" s="2"/>
      <c r="D2" s="2"/>
      <c r="E2" s="2"/>
      <c r="F2" s="2"/>
    </row>
    <row r="4" spans="1:6" ht="31.2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60" customHeight="1" x14ac:dyDescent="0.3">
      <c r="A5" s="5">
        <v>1</v>
      </c>
      <c r="B5" s="6" t="s">
        <v>8</v>
      </c>
      <c r="C5" s="7" t="s">
        <v>9</v>
      </c>
      <c r="D5" s="7" t="s">
        <v>10</v>
      </c>
      <c r="E5" s="5" t="s">
        <v>11</v>
      </c>
      <c r="F5" s="7"/>
    </row>
    <row r="6" spans="1:6" ht="60" customHeight="1" x14ac:dyDescent="0.3">
      <c r="A6" s="5">
        <v>1</v>
      </c>
      <c r="B6" s="6" t="s">
        <v>8</v>
      </c>
      <c r="C6" s="7" t="s">
        <v>12</v>
      </c>
      <c r="D6" s="7" t="s">
        <v>13</v>
      </c>
      <c r="E6" s="5" t="s">
        <v>11</v>
      </c>
      <c r="F6" s="7"/>
    </row>
    <row r="7" spans="1:6" ht="60" customHeight="1" x14ac:dyDescent="0.3">
      <c r="A7" s="5">
        <v>2</v>
      </c>
      <c r="B7" s="6" t="s">
        <v>8</v>
      </c>
      <c r="C7" s="7" t="s">
        <v>14</v>
      </c>
      <c r="D7" s="7" t="s">
        <v>15</v>
      </c>
      <c r="E7" s="5" t="s">
        <v>11</v>
      </c>
      <c r="F7" s="7"/>
    </row>
    <row r="8" spans="1:6" ht="45" customHeight="1" x14ac:dyDescent="0.3">
      <c r="A8" s="5">
        <v>2</v>
      </c>
      <c r="B8" s="6" t="s">
        <v>8</v>
      </c>
      <c r="C8" s="7" t="s">
        <v>16</v>
      </c>
      <c r="D8" s="7" t="s">
        <v>17</v>
      </c>
      <c r="E8" s="5" t="s">
        <v>11</v>
      </c>
      <c r="F8" s="7"/>
    </row>
    <row r="9" spans="1:6" ht="60" customHeight="1" x14ac:dyDescent="0.3">
      <c r="A9" s="5">
        <v>3</v>
      </c>
      <c r="B9" s="8" t="s">
        <v>18</v>
      </c>
      <c r="C9" s="7" t="s">
        <v>19</v>
      </c>
      <c r="D9" s="7" t="s">
        <v>20</v>
      </c>
      <c r="E9" s="5" t="s">
        <v>11</v>
      </c>
      <c r="F9" s="7"/>
    </row>
    <row r="10" spans="1:6" ht="60" customHeight="1" x14ac:dyDescent="0.3">
      <c r="A10" s="5">
        <v>4</v>
      </c>
      <c r="B10" s="8" t="s">
        <v>18</v>
      </c>
      <c r="C10" s="7" t="s">
        <v>21</v>
      </c>
      <c r="D10" s="7" t="s">
        <v>22</v>
      </c>
      <c r="E10" s="5" t="s">
        <v>11</v>
      </c>
      <c r="F10" s="7"/>
    </row>
    <row r="11" spans="1:6" ht="60" customHeight="1" x14ac:dyDescent="0.3">
      <c r="A11" s="5">
        <v>5</v>
      </c>
      <c r="B11" s="8" t="s">
        <v>18</v>
      </c>
      <c r="C11" s="7" t="s">
        <v>23</v>
      </c>
      <c r="D11" s="7" t="s">
        <v>24</v>
      </c>
      <c r="E11" s="5" t="s">
        <v>11</v>
      </c>
      <c r="F11" s="7"/>
    </row>
    <row r="12" spans="1:6" ht="60" customHeight="1" x14ac:dyDescent="0.3">
      <c r="A12" s="5">
        <v>6</v>
      </c>
      <c r="B12" s="8" t="s">
        <v>18</v>
      </c>
      <c r="C12" s="7" t="s">
        <v>25</v>
      </c>
      <c r="D12" s="7" t="s">
        <v>26</v>
      </c>
      <c r="E12" s="5" t="s">
        <v>11</v>
      </c>
      <c r="F12" s="7"/>
    </row>
    <row r="13" spans="1:6" ht="60" customHeight="1" x14ac:dyDescent="0.3">
      <c r="A13" s="5">
        <v>7</v>
      </c>
      <c r="B13" s="8" t="s">
        <v>27</v>
      </c>
      <c r="C13" s="7" t="s">
        <v>28</v>
      </c>
      <c r="D13" s="7" t="s">
        <v>29</v>
      </c>
      <c r="E13" s="5" t="s">
        <v>11</v>
      </c>
      <c r="F13" s="7"/>
    </row>
    <row r="14" spans="1:6" ht="60" customHeight="1" x14ac:dyDescent="0.3">
      <c r="A14" s="5">
        <v>8</v>
      </c>
      <c r="B14" s="8" t="s">
        <v>27</v>
      </c>
      <c r="C14" s="7" t="s">
        <v>30</v>
      </c>
      <c r="D14" s="7" t="s">
        <v>31</v>
      </c>
      <c r="E14" s="5" t="s">
        <v>11</v>
      </c>
      <c r="F14" s="7"/>
    </row>
    <row r="15" spans="1:6" ht="60" customHeight="1" x14ac:dyDescent="0.3">
      <c r="A15" s="5">
        <v>9</v>
      </c>
      <c r="B15" s="8" t="s">
        <v>27</v>
      </c>
      <c r="C15" s="7" t="s">
        <v>32</v>
      </c>
      <c r="D15" s="7" t="s">
        <v>33</v>
      </c>
      <c r="E15" s="5" t="s">
        <v>11</v>
      </c>
      <c r="F15" s="7"/>
    </row>
    <row r="16" spans="1:6" ht="60" customHeight="1" x14ac:dyDescent="0.3">
      <c r="A16" s="5">
        <v>10</v>
      </c>
      <c r="B16" s="8" t="s">
        <v>27</v>
      </c>
      <c r="C16" s="7" t="s">
        <v>34</v>
      </c>
      <c r="D16" s="7" t="s">
        <v>35</v>
      </c>
      <c r="E16" s="5" t="s">
        <v>11</v>
      </c>
      <c r="F16" s="7"/>
    </row>
    <row r="17" spans="1:6" ht="45" customHeight="1" x14ac:dyDescent="0.3">
      <c r="A17" s="5">
        <v>11</v>
      </c>
      <c r="B17" s="9" t="s">
        <v>36</v>
      </c>
      <c r="C17" s="7" t="s">
        <v>37</v>
      </c>
      <c r="D17" s="7" t="s">
        <v>38</v>
      </c>
      <c r="E17" s="5" t="s">
        <v>11</v>
      </c>
      <c r="F17" s="7"/>
    </row>
    <row r="18" spans="1:6" ht="60" customHeight="1" x14ac:dyDescent="0.3">
      <c r="A18" s="5">
        <v>12</v>
      </c>
      <c r="B18" s="9" t="s">
        <v>36</v>
      </c>
      <c r="C18" s="7" t="s">
        <v>39</v>
      </c>
      <c r="D18" s="7" t="s">
        <v>40</v>
      </c>
      <c r="E18" s="5" t="s">
        <v>11</v>
      </c>
      <c r="F18" s="7"/>
    </row>
    <row r="19" spans="1:6" ht="45" customHeight="1" x14ac:dyDescent="0.3">
      <c r="A19" s="5">
        <v>13</v>
      </c>
      <c r="B19" s="9" t="s">
        <v>36</v>
      </c>
      <c r="C19" s="7" t="s">
        <v>41</v>
      </c>
      <c r="D19" s="7" t="s">
        <v>42</v>
      </c>
      <c r="E19" s="5" t="s">
        <v>11</v>
      </c>
      <c r="F19" s="7"/>
    </row>
    <row r="20" spans="1:6" ht="60" customHeight="1" x14ac:dyDescent="0.3">
      <c r="A20" s="5">
        <v>14</v>
      </c>
      <c r="B20" s="10" t="s">
        <v>43</v>
      </c>
      <c r="C20" s="7" t="s">
        <v>44</v>
      </c>
      <c r="D20" s="7" t="s">
        <v>45</v>
      </c>
      <c r="E20" s="5" t="s">
        <v>11</v>
      </c>
      <c r="F20" s="7"/>
    </row>
    <row r="21" spans="1:6" ht="60" customHeight="1" x14ac:dyDescent="0.3">
      <c r="A21" s="5">
        <v>15</v>
      </c>
      <c r="B21" s="10" t="s">
        <v>43</v>
      </c>
      <c r="C21" s="7" t="s">
        <v>46</v>
      </c>
      <c r="D21" s="7" t="s">
        <v>47</v>
      </c>
      <c r="E21" s="5" t="s">
        <v>11</v>
      </c>
      <c r="F21" s="7"/>
    </row>
    <row r="22" spans="1:6" ht="45" customHeight="1" x14ac:dyDescent="0.3">
      <c r="A22" s="5">
        <v>16</v>
      </c>
      <c r="B22" s="10" t="s">
        <v>43</v>
      </c>
      <c r="C22" s="7" t="s">
        <v>48</v>
      </c>
      <c r="D22" s="7" t="s">
        <v>49</v>
      </c>
      <c r="E22" s="5" t="s">
        <v>11</v>
      </c>
      <c r="F22" s="7"/>
    </row>
    <row r="23" spans="1:6" ht="60" customHeight="1" x14ac:dyDescent="0.3">
      <c r="A23" s="5">
        <v>17</v>
      </c>
      <c r="B23" s="10" t="s">
        <v>43</v>
      </c>
      <c r="C23" s="7" t="s">
        <v>50</v>
      </c>
      <c r="D23" s="7" t="s">
        <v>51</v>
      </c>
      <c r="E23" s="5" t="s">
        <v>11</v>
      </c>
      <c r="F23" s="7"/>
    </row>
    <row r="24" spans="1:6" ht="45" customHeight="1" x14ac:dyDescent="0.3">
      <c r="A24" s="5">
        <v>18</v>
      </c>
      <c r="B24" s="11" t="s">
        <v>52</v>
      </c>
      <c r="C24" s="7" t="s">
        <v>53</v>
      </c>
      <c r="D24" s="7" t="s">
        <v>54</v>
      </c>
      <c r="E24" s="5" t="s">
        <v>11</v>
      </c>
      <c r="F24" s="7"/>
    </row>
    <row r="25" spans="1:6" ht="45" customHeight="1" x14ac:dyDescent="0.3">
      <c r="A25" s="5">
        <v>19</v>
      </c>
      <c r="B25" s="11" t="s">
        <v>52</v>
      </c>
      <c r="C25" s="7" t="s">
        <v>55</v>
      </c>
      <c r="D25" s="7" t="s">
        <v>56</v>
      </c>
      <c r="E25" s="5" t="s">
        <v>11</v>
      </c>
      <c r="F25" s="7"/>
    </row>
    <row r="26" spans="1:6" ht="60" customHeight="1" x14ac:dyDescent="0.3">
      <c r="A26" s="5">
        <v>20</v>
      </c>
      <c r="B26" s="12" t="s">
        <v>57</v>
      </c>
      <c r="C26" s="7" t="s">
        <v>58</v>
      </c>
      <c r="D26" s="7" t="s">
        <v>59</v>
      </c>
      <c r="E26" s="5" t="s">
        <v>11</v>
      </c>
      <c r="F26" s="7"/>
    </row>
  </sheetData>
  <mergeCells count="2">
    <mergeCell ref="A1:F1"/>
    <mergeCell ref="A2:F2"/>
  </mergeCells>
  <conditionalFormatting sqref="E5:E26">
    <cfRule type="cellIs" dxfId="1" priority="2" operator="equal">
      <formula>"Yes"</formula>
    </cfRule>
    <cfRule type="cellIs" dxfId="0" priority="3" operator="equal">
      <formula>"In Progress"</formula>
    </cfRule>
  </conditionalFormatting>
  <dataValidations count="1">
    <dataValidation type="list" sqref="E5:E26" xr:uid="{00000000-0002-0000-0000-000000000000}">
      <formula1>"Yes,No,In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4" customWidth="1"/>
  </cols>
  <sheetData>
    <row r="1" spans="1:4" ht="21" x14ac:dyDescent="0.4">
      <c r="A1" s="3" t="s">
        <v>60</v>
      </c>
      <c r="B1" s="3"/>
      <c r="C1" s="3"/>
    </row>
    <row r="3" spans="1:4" x14ac:dyDescent="0.3">
      <c r="A3" s="13" t="s">
        <v>61</v>
      </c>
      <c r="B3" s="14">
        <f>COUNTA('Task Tracker'!E5:E26)</f>
        <v>22</v>
      </c>
    </row>
    <row r="4" spans="1:4" x14ac:dyDescent="0.3">
      <c r="A4" s="13" t="s">
        <v>62</v>
      </c>
      <c r="B4" s="14">
        <f>COUNTIF('Task Tracker'!E5:E26,"Yes")</f>
        <v>0</v>
      </c>
    </row>
    <row r="5" spans="1:4" x14ac:dyDescent="0.3">
      <c r="A5" s="13" t="s">
        <v>63</v>
      </c>
      <c r="B5" s="14">
        <f>COUNTIF('Task Tracker'!E5:E26,"In Progress")</f>
        <v>0</v>
      </c>
    </row>
    <row r="6" spans="1:4" x14ac:dyDescent="0.3">
      <c r="A6" s="13" t="s">
        <v>64</v>
      </c>
      <c r="B6" s="14">
        <f>COUNTIF('Task Tracker'!E5:E26,"No")</f>
        <v>22</v>
      </c>
    </row>
    <row r="7" spans="1:4" x14ac:dyDescent="0.3">
      <c r="A7" s="13" t="s">
        <v>65</v>
      </c>
      <c r="B7" s="15">
        <f>B4/B3</f>
        <v>0</v>
      </c>
    </row>
    <row r="10" spans="1:4" ht="15.6" x14ac:dyDescent="0.3">
      <c r="A10" s="1" t="s">
        <v>66</v>
      </c>
      <c r="B10" s="1"/>
      <c r="C10" s="1"/>
      <c r="D10" s="1"/>
    </row>
    <row r="11" spans="1:4" ht="15.6" x14ac:dyDescent="0.3">
      <c r="A11" s="16" t="s">
        <v>3</v>
      </c>
      <c r="B11" s="16" t="s">
        <v>67</v>
      </c>
    </row>
    <row r="12" spans="1:4" x14ac:dyDescent="0.3">
      <c r="A12" s="17" t="s">
        <v>8</v>
      </c>
      <c r="B12" s="18" t="s">
        <v>68</v>
      </c>
    </row>
    <row r="13" spans="1:4" x14ac:dyDescent="0.3">
      <c r="A13" s="19" t="s">
        <v>18</v>
      </c>
      <c r="B13" s="18" t="s">
        <v>69</v>
      </c>
    </row>
    <row r="14" spans="1:4" x14ac:dyDescent="0.3">
      <c r="A14" s="19" t="s">
        <v>27</v>
      </c>
      <c r="B14" s="18" t="s">
        <v>70</v>
      </c>
    </row>
    <row r="15" spans="1:4" x14ac:dyDescent="0.3">
      <c r="A15" s="20" t="s">
        <v>36</v>
      </c>
      <c r="B15" s="18" t="s">
        <v>71</v>
      </c>
    </row>
    <row r="16" spans="1:4" x14ac:dyDescent="0.3">
      <c r="A16" s="21" t="s">
        <v>43</v>
      </c>
      <c r="B16" s="18" t="s">
        <v>72</v>
      </c>
    </row>
    <row r="17" spans="1:2" x14ac:dyDescent="0.3">
      <c r="A17" s="22" t="s">
        <v>52</v>
      </c>
      <c r="B17" s="18" t="s">
        <v>73</v>
      </c>
    </row>
    <row r="18" spans="1:2" x14ac:dyDescent="0.3">
      <c r="A18" s="23" t="s">
        <v>57</v>
      </c>
      <c r="B18" s="18" t="s">
        <v>74</v>
      </c>
    </row>
  </sheetData>
  <mergeCells count="2">
    <mergeCell ref="A1:C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Tracker</vt:lpstr>
      <vt:lpstr>Progress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Rishabh Trivedi</cp:lastModifiedBy>
  <cp:revision>0</cp:revision>
  <dcterms:created xsi:type="dcterms:W3CDTF">2026-09-09T16:53:19Z</dcterms:created>
  <dcterms:modified xsi:type="dcterms:W3CDTF">2026-09-10T12:18:27Z</dcterms:modified>
  <dc:language>en-US</dc:language>
</cp:coreProperties>
</file>